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jko\Downloads\"/>
    </mc:Choice>
  </mc:AlternateContent>
  <xr:revisionPtr revIDLastSave="0" documentId="13_ncr:1_{6A735670-FA25-4252-9839-08BA6683B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Master Table" sheetId="1" r:id="rId1"/>
    <sheet name="Übersicht &amp; Statisti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D7" i="2"/>
  <c r="C7" i="2"/>
  <c r="D6" i="2"/>
  <c r="D9" i="2" s="1"/>
  <c r="C6" i="2"/>
  <c r="C9" i="2" s="1"/>
</calcChain>
</file>

<file path=xl/sharedStrings.xml><?xml version="1.0" encoding="utf-8"?>
<sst xmlns="http://schemas.openxmlformats.org/spreadsheetml/2006/main" count="152" uniqueCount="78">
  <si>
    <t>Titel</t>
  </si>
  <si>
    <t>Asset Category</t>
  </si>
  <si>
    <t>Asset Subcategory / Typ</t>
  </si>
  <si>
    <t>Menge (Stk.)</t>
  </si>
  <si>
    <t>Zustand</t>
  </si>
  <si>
    <t>Stufe</t>
  </si>
  <si>
    <t>Hersteller</t>
  </si>
  <si>
    <t>Notizen / Beschreibung</t>
  </si>
  <si>
    <t>Lagerort / Verpackung</t>
  </si>
  <si>
    <t>Strohhüte 'Sombrero Vita'</t>
  </si>
  <si>
    <t>Marketing</t>
  </si>
  <si>
    <t>Werbeartikel / Kopfbedeckung</t>
  </si>
  <si>
    <t>Good (working)</t>
  </si>
  <si>
    <t>In Stock</t>
  </si>
  <si>
    <t>Makito</t>
  </si>
  <si>
    <t>Item 8086, Sombrero Vita HAT</t>
  </si>
  <si>
    <t>Kappen schwarz 'Landtechnik Schuster'</t>
  </si>
  <si>
    <t>Bekleidung / Kopfbedeckung</t>
  </si>
  <si>
    <t>Schwarz mit Logostickerei</t>
  </si>
  <si>
    <t>T-Shirts schwarz 'Landtechnik Schuster'</t>
  </si>
  <si>
    <t>Bekleidung / T-Shirts</t>
  </si>
  <si>
    <t>Schwarz mit gelbem Landtechnik Schuster Logo</t>
  </si>
  <si>
    <t>T-Shirts sortiert (L, M, 2XL-5XL)</t>
  </si>
  <si>
    <t>Sortiert nach Größen mit Post-Its</t>
  </si>
  <si>
    <t>Flipchart-Blöcke blanko (5x20 Blatt)</t>
  </si>
  <si>
    <t>Bürobedarf</t>
  </si>
  <si>
    <t>Präsentation / Verbrauchsmaterial</t>
  </si>
  <si>
    <t>Herlitz</t>
  </si>
  <si>
    <t>Herlitz Flipchartbl.blanko20Bl (Art. 60/410-144-01)</t>
  </si>
  <si>
    <t>Roll-Up Displays</t>
  </si>
  <si>
    <t>Messe-Equipment / Displays</t>
  </si>
  <si>
    <t>Unbekannt</t>
  </si>
  <si>
    <t>Verschiedene Ausführungen</t>
  </si>
  <si>
    <t>Faltzelt / Messezelt</t>
  </si>
  <si>
    <t>Messe-Equipment / Event</t>
  </si>
  <si>
    <t>Eventzelt / Pavillon</t>
  </si>
  <si>
    <t>Parkplatz-Schilder</t>
  </si>
  <si>
    <t>Beschilderung / Event</t>
  </si>
  <si>
    <t>Hinweisschilder für Veranstaltung</t>
  </si>
  <si>
    <t>A-Ständer / Kundenstopper</t>
  </si>
  <si>
    <t>Werbedisplay / Aufsteller</t>
  </si>
  <si>
    <t>Klappaufsteller für Plakate</t>
  </si>
  <si>
    <t>Mikrofon (Funk/Audio)</t>
  </si>
  <si>
    <t>Eventtechnik</t>
  </si>
  <si>
    <t>Medientechnik / Audio</t>
  </si>
  <si>
    <t>Audio-Equipment für Präsentationen</t>
  </si>
  <si>
    <t>Gimbal (Kamera-Stabilisator)</t>
  </si>
  <si>
    <t>Filmtechnik / Foto</t>
  </si>
  <si>
    <t>Handheld Stabilisator für Videoaufnahmen</t>
  </si>
  <si>
    <t>Schwimmbälle 'Landtechnik Schuster'</t>
  </si>
  <si>
    <t>Werbeartikel / Merchandise</t>
  </si>
  <si>
    <t>Wasserbälle / Merchandise</t>
  </si>
  <si>
    <t>Beachflag 'Lemken'</t>
  </si>
  <si>
    <t>Werbedisplay / Fahne</t>
  </si>
  <si>
    <t>Lemken</t>
  </si>
  <si>
    <t>Hersteller-Branded Beachflag</t>
  </si>
  <si>
    <t>Beachflag 'Horsch'</t>
  </si>
  <si>
    <t>Horsch</t>
  </si>
  <si>
    <t>Beachflag 'Gregoire'</t>
  </si>
  <si>
    <t>Gregoire</t>
  </si>
  <si>
    <t>Beachflag 'Maschio'</t>
  </si>
  <si>
    <t>Maschio</t>
  </si>
  <si>
    <t>Beachflag 'Landtechnik Schuster'</t>
  </si>
  <si>
    <t>Gelb-weißer Fahnenstoff mit Hohlsaum für Gestänge</t>
  </si>
  <si>
    <t>Werbeplane / Outdoor-Banner</t>
  </si>
  <si>
    <t>Werbedisplay / Banner</t>
  </si>
  <si>
    <t>Langes weißes Banner mit Metallösen zum Festzurren</t>
  </si>
  <si>
    <t>Lagerinventur &amp; Asset Übersicht</t>
  </si>
  <si>
    <t>Zusammenfassung aller erfassten Gegenstände aus dem Lager</t>
  </si>
  <si>
    <t>Kategorie-Übersicht</t>
  </si>
  <si>
    <t>Kategorie</t>
  </si>
  <si>
    <t>Anzahl Posten</t>
  </si>
  <si>
    <t>Gesamt Stückzahl</t>
  </si>
  <si>
    <t>Gesamt</t>
  </si>
  <si>
    <t>unbekannt</t>
  </si>
  <si>
    <t>Claas Klappstuhl</t>
  </si>
  <si>
    <t>Holz-Liegestuhl mit NEXOS Traktor Motiv</t>
  </si>
  <si>
    <t>Werbedisplay / Liegestuhl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</si>
</sst>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1"/>
      <color rgb="FF1F4E7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7F9FC"/>
        <bgColor rgb="FFF7F9FC"/>
      </patternFill>
    </fill>
    <fill>
      <patternFill patternType="solid">
        <fgColor theme="1"/>
        <bgColor rgb="FF1F4E7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7F9FC"/>
      </patternFill>
    </fill>
  </fills>
  <borders count="4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Stückzahl nach Kategorie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'Übersicht &amp; Statistik'!$D$5</c:f>
              <c:strCache>
                <c:ptCount val="1"/>
                <c:pt idx="0">
                  <c:v>Gesamt Stückzahl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'Übersicht &amp; Statistik'!$B$6:$B$8</c:f>
              <c:strCache>
                <c:ptCount val="3"/>
                <c:pt idx="0">
                  <c:v>Marketing</c:v>
                </c:pt>
                <c:pt idx="1">
                  <c:v>Bürobedarf</c:v>
                </c:pt>
                <c:pt idx="2">
                  <c:v>Eventtechnik</c:v>
                </c:pt>
              </c:strCache>
            </c:strRef>
          </c:cat>
          <c:val>
            <c:numRef>
              <c:f>'Übersicht &amp; Statistik'!$D$6:$D$8</c:f>
              <c:numCache>
                <c:formatCode>#,##0</c:formatCode>
                <c:ptCount val="3"/>
                <c:pt idx="0">
                  <c:v>722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E-454C-B9CB-B3A38ECA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Kategorie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Stückzahl (Stk.)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4"/>
  <sheetViews>
    <sheetView tabSelected="1" topLeftCell="E3" workbookViewId="0">
      <selection activeCell="I23" sqref="I23"/>
    </sheetView>
  </sheetViews>
  <sheetFormatPr defaultRowHeight="14.4" x14ac:dyDescent="0.3"/>
  <cols>
    <col min="1" max="1" width="42" customWidth="1"/>
    <col min="2" max="2" width="17" customWidth="1"/>
    <col min="3" max="3" width="36" customWidth="1"/>
    <col min="4" max="4" width="15" customWidth="1"/>
    <col min="5" max="5" width="17" customWidth="1"/>
    <col min="6" max="6" width="12" customWidth="1"/>
    <col min="7" max="7" width="13" customWidth="1"/>
    <col min="8" max="8" width="54" customWidth="1"/>
    <col min="9" max="9" width="87" customWidth="1"/>
  </cols>
  <sheetData>
    <row r="4" spans="1:9" ht="28.05" customHeight="1" thickBot="1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20" t="s">
        <v>8</v>
      </c>
    </row>
    <row r="5" spans="1:9" ht="15" x14ac:dyDescent="0.35">
      <c r="A5" s="4" t="s">
        <v>9</v>
      </c>
      <c r="B5" s="4" t="s">
        <v>10</v>
      </c>
      <c r="C5" s="4" t="s">
        <v>11</v>
      </c>
      <c r="D5" s="5">
        <v>356</v>
      </c>
      <c r="E5" s="6" t="s">
        <v>12</v>
      </c>
      <c r="F5" s="6" t="s">
        <v>13</v>
      </c>
      <c r="G5" s="4" t="s">
        <v>14</v>
      </c>
      <c r="H5" s="4" t="s">
        <v>15</v>
      </c>
      <c r="I5" s="21"/>
    </row>
    <row r="6" spans="1:9" ht="15" x14ac:dyDescent="0.35">
      <c r="A6" s="7" t="s">
        <v>16</v>
      </c>
      <c r="B6" s="7" t="s">
        <v>10</v>
      </c>
      <c r="C6" s="7" t="s">
        <v>17</v>
      </c>
      <c r="D6" s="8">
        <v>80</v>
      </c>
      <c r="E6" s="9" t="s">
        <v>12</v>
      </c>
      <c r="F6" s="9" t="s">
        <v>13</v>
      </c>
      <c r="G6" s="7" t="s">
        <v>74</v>
      </c>
      <c r="H6" s="7" t="s">
        <v>18</v>
      </c>
      <c r="I6" s="22"/>
    </row>
    <row r="7" spans="1:9" ht="15" x14ac:dyDescent="0.35">
      <c r="A7" s="4" t="s">
        <v>19</v>
      </c>
      <c r="B7" s="4" t="s">
        <v>10</v>
      </c>
      <c r="C7" s="4" t="s">
        <v>20</v>
      </c>
      <c r="D7" s="5">
        <v>80</v>
      </c>
      <c r="E7" s="6" t="s">
        <v>12</v>
      </c>
      <c r="F7" s="6" t="s">
        <v>13</v>
      </c>
      <c r="G7" s="4" t="s">
        <v>74</v>
      </c>
      <c r="H7" s="4" t="s">
        <v>21</v>
      </c>
      <c r="I7" s="21"/>
    </row>
    <row r="8" spans="1:9" ht="15" x14ac:dyDescent="0.35">
      <c r="A8" s="7" t="s">
        <v>22</v>
      </c>
      <c r="B8" s="7" t="s">
        <v>10</v>
      </c>
      <c r="C8" s="7" t="s">
        <v>20</v>
      </c>
      <c r="D8" s="8">
        <v>100</v>
      </c>
      <c r="E8" s="9" t="s">
        <v>12</v>
      </c>
      <c r="F8" s="9" t="s">
        <v>13</v>
      </c>
      <c r="G8" s="7" t="s">
        <v>74</v>
      </c>
      <c r="H8" s="7" t="s">
        <v>23</v>
      </c>
      <c r="I8" s="22"/>
    </row>
    <row r="9" spans="1:9" ht="15" x14ac:dyDescent="0.35">
      <c r="A9" s="4" t="s">
        <v>24</v>
      </c>
      <c r="B9" s="4" t="s">
        <v>25</v>
      </c>
      <c r="C9" s="4" t="s">
        <v>26</v>
      </c>
      <c r="D9" s="5">
        <v>5</v>
      </c>
      <c r="E9" s="6" t="s">
        <v>12</v>
      </c>
      <c r="F9" s="6" t="s">
        <v>13</v>
      </c>
      <c r="G9" s="4" t="s">
        <v>27</v>
      </c>
      <c r="H9" s="4" t="s">
        <v>28</v>
      </c>
      <c r="I9" s="21"/>
    </row>
    <row r="10" spans="1:9" ht="15" x14ac:dyDescent="0.35">
      <c r="A10" s="7" t="s">
        <v>29</v>
      </c>
      <c r="B10" s="7" t="s">
        <v>10</v>
      </c>
      <c r="C10" s="7" t="s">
        <v>30</v>
      </c>
      <c r="D10" s="8">
        <v>16</v>
      </c>
      <c r="E10" s="9" t="s">
        <v>12</v>
      </c>
      <c r="F10" s="9" t="s">
        <v>13</v>
      </c>
      <c r="G10" s="7" t="s">
        <v>31</v>
      </c>
      <c r="H10" s="7" t="s">
        <v>32</v>
      </c>
      <c r="I10" s="22"/>
    </row>
    <row r="11" spans="1:9" ht="15" x14ac:dyDescent="0.35">
      <c r="A11" s="4" t="s">
        <v>33</v>
      </c>
      <c r="B11" s="4" t="s">
        <v>10</v>
      </c>
      <c r="C11" s="4" t="s">
        <v>34</v>
      </c>
      <c r="D11" s="5">
        <v>1</v>
      </c>
      <c r="E11" s="6" t="s">
        <v>12</v>
      </c>
      <c r="F11" s="6" t="s">
        <v>13</v>
      </c>
      <c r="G11" s="4" t="s">
        <v>31</v>
      </c>
      <c r="H11" s="4" t="s">
        <v>35</v>
      </c>
      <c r="I11" s="21"/>
    </row>
    <row r="12" spans="1:9" ht="15" x14ac:dyDescent="0.35">
      <c r="A12" s="7" t="s">
        <v>36</v>
      </c>
      <c r="B12" s="7" t="s">
        <v>10</v>
      </c>
      <c r="C12" s="7" t="s">
        <v>37</v>
      </c>
      <c r="D12" s="8">
        <v>4</v>
      </c>
      <c r="E12" s="9" t="s">
        <v>12</v>
      </c>
      <c r="F12" s="9" t="s">
        <v>13</v>
      </c>
      <c r="G12" s="7" t="s">
        <v>31</v>
      </c>
      <c r="H12" s="7" t="s">
        <v>38</v>
      </c>
      <c r="I12" s="22"/>
    </row>
    <row r="13" spans="1:9" ht="15" x14ac:dyDescent="0.35">
      <c r="A13" s="4" t="s">
        <v>39</v>
      </c>
      <c r="B13" s="4" t="s">
        <v>10</v>
      </c>
      <c r="C13" s="4" t="s">
        <v>40</v>
      </c>
      <c r="D13" s="5">
        <v>1</v>
      </c>
      <c r="E13" s="6" t="s">
        <v>12</v>
      </c>
      <c r="F13" s="6" t="s">
        <v>13</v>
      </c>
      <c r="G13" s="4" t="s">
        <v>31</v>
      </c>
      <c r="H13" s="4" t="s">
        <v>41</v>
      </c>
      <c r="I13" s="21"/>
    </row>
    <row r="14" spans="1:9" ht="15" x14ac:dyDescent="0.35">
      <c r="A14" s="7" t="s">
        <v>42</v>
      </c>
      <c r="B14" s="7" t="s">
        <v>43</v>
      </c>
      <c r="C14" s="7" t="s">
        <v>44</v>
      </c>
      <c r="D14" s="8">
        <v>1</v>
      </c>
      <c r="E14" s="9" t="s">
        <v>12</v>
      </c>
      <c r="F14" s="9" t="s">
        <v>13</v>
      </c>
      <c r="G14" s="7" t="s">
        <v>31</v>
      </c>
      <c r="H14" s="7" t="s">
        <v>45</v>
      </c>
      <c r="I14" s="22"/>
    </row>
    <row r="15" spans="1:9" ht="15" x14ac:dyDescent="0.35">
      <c r="A15" s="4" t="s">
        <v>46</v>
      </c>
      <c r="B15" s="4" t="s">
        <v>10</v>
      </c>
      <c r="C15" s="4" t="s">
        <v>47</v>
      </c>
      <c r="D15" s="5">
        <v>1</v>
      </c>
      <c r="E15" s="6" t="s">
        <v>12</v>
      </c>
      <c r="F15" s="6" t="s">
        <v>13</v>
      </c>
      <c r="G15" s="4" t="s">
        <v>31</v>
      </c>
      <c r="H15" s="4" t="s">
        <v>48</v>
      </c>
      <c r="I15" s="22"/>
    </row>
    <row r="16" spans="1:9" ht="15" x14ac:dyDescent="0.35">
      <c r="A16" s="7" t="s">
        <v>49</v>
      </c>
      <c r="B16" s="7" t="s">
        <v>10</v>
      </c>
      <c r="C16" s="7" t="s">
        <v>50</v>
      </c>
      <c r="D16" s="8">
        <v>60</v>
      </c>
      <c r="E16" s="9" t="s">
        <v>12</v>
      </c>
      <c r="F16" s="9" t="s">
        <v>13</v>
      </c>
      <c r="G16" s="7" t="s">
        <v>31</v>
      </c>
      <c r="H16" s="7" t="s">
        <v>51</v>
      </c>
      <c r="I16" s="22"/>
    </row>
    <row r="17" spans="1:9" ht="15" x14ac:dyDescent="0.35">
      <c r="A17" s="4" t="s">
        <v>52</v>
      </c>
      <c r="B17" s="4" t="s">
        <v>10</v>
      </c>
      <c r="C17" s="4" t="s">
        <v>53</v>
      </c>
      <c r="D17" s="5">
        <v>7</v>
      </c>
      <c r="E17" s="6" t="s">
        <v>12</v>
      </c>
      <c r="F17" s="6" t="s">
        <v>13</v>
      </c>
      <c r="G17" s="4" t="s">
        <v>54</v>
      </c>
      <c r="H17" s="4" t="s">
        <v>55</v>
      </c>
      <c r="I17" s="21"/>
    </row>
    <row r="18" spans="1:9" ht="15" x14ac:dyDescent="0.35">
      <c r="A18" s="7" t="s">
        <v>56</v>
      </c>
      <c r="B18" s="7" t="s">
        <v>10</v>
      </c>
      <c r="C18" s="7" t="s">
        <v>53</v>
      </c>
      <c r="D18" s="8">
        <v>1</v>
      </c>
      <c r="E18" s="9" t="s">
        <v>12</v>
      </c>
      <c r="F18" s="9" t="s">
        <v>13</v>
      </c>
      <c r="G18" s="7" t="s">
        <v>57</v>
      </c>
      <c r="H18" s="7" t="s">
        <v>55</v>
      </c>
      <c r="I18" s="22"/>
    </row>
    <row r="19" spans="1:9" ht="15" x14ac:dyDescent="0.35">
      <c r="A19" s="4" t="s">
        <v>58</v>
      </c>
      <c r="B19" s="4" t="s">
        <v>10</v>
      </c>
      <c r="C19" s="4" t="s">
        <v>53</v>
      </c>
      <c r="D19" s="5">
        <v>1</v>
      </c>
      <c r="E19" s="6" t="s">
        <v>12</v>
      </c>
      <c r="F19" s="6" t="s">
        <v>13</v>
      </c>
      <c r="G19" s="4" t="s">
        <v>59</v>
      </c>
      <c r="H19" s="4" t="s">
        <v>55</v>
      </c>
      <c r="I19" s="21"/>
    </row>
    <row r="20" spans="1:9" ht="15" x14ac:dyDescent="0.35">
      <c r="A20" s="7" t="s">
        <v>60</v>
      </c>
      <c r="B20" s="7" t="s">
        <v>10</v>
      </c>
      <c r="C20" s="7" t="s">
        <v>53</v>
      </c>
      <c r="D20" s="8">
        <v>6</v>
      </c>
      <c r="E20" s="9" t="s">
        <v>12</v>
      </c>
      <c r="F20" s="9" t="s">
        <v>13</v>
      </c>
      <c r="G20" s="7" t="s">
        <v>61</v>
      </c>
      <c r="H20" s="7" t="s">
        <v>55</v>
      </c>
      <c r="I20" s="22"/>
    </row>
    <row r="21" spans="1:9" ht="15" x14ac:dyDescent="0.35">
      <c r="A21" s="4" t="s">
        <v>62</v>
      </c>
      <c r="B21" s="4" t="s">
        <v>10</v>
      </c>
      <c r="C21" s="4" t="s">
        <v>53</v>
      </c>
      <c r="D21" s="5">
        <v>7</v>
      </c>
      <c r="E21" s="6" t="s">
        <v>12</v>
      </c>
      <c r="F21" s="6" t="s">
        <v>13</v>
      </c>
      <c r="G21" s="4" t="s">
        <v>31</v>
      </c>
      <c r="H21" s="4" t="s">
        <v>63</v>
      </c>
      <c r="I21" s="21"/>
    </row>
    <row r="22" spans="1:9" ht="15" x14ac:dyDescent="0.35">
      <c r="A22" s="7" t="s">
        <v>64</v>
      </c>
      <c r="B22" s="7" t="s">
        <v>10</v>
      </c>
      <c r="C22" s="7" t="s">
        <v>65</v>
      </c>
      <c r="D22" s="8">
        <v>1</v>
      </c>
      <c r="E22" s="9" t="s">
        <v>12</v>
      </c>
      <c r="F22" s="9" t="s">
        <v>13</v>
      </c>
      <c r="G22" s="7" t="s">
        <v>31</v>
      </c>
      <c r="H22" s="7" t="s">
        <v>66</v>
      </c>
      <c r="I22" s="22"/>
    </row>
    <row r="23" spans="1:9" ht="15" x14ac:dyDescent="0.35">
      <c r="A23" s="17" t="s">
        <v>75</v>
      </c>
      <c r="B23" s="17" t="s">
        <v>10</v>
      </c>
      <c r="C23" s="17" t="s">
        <v>77</v>
      </c>
      <c r="D23" s="18">
        <v>2</v>
      </c>
      <c r="E23" s="19" t="s">
        <v>12</v>
      </c>
      <c r="F23" s="19" t="s">
        <v>13</v>
      </c>
      <c r="G23" s="17" t="s">
        <v>74</v>
      </c>
      <c r="H23" s="17" t="s">
        <v>76</v>
      </c>
      <c r="I23" s="23"/>
    </row>
    <row r="24" spans="1:9" x14ac:dyDescent="0.3">
      <c r="I24" s="2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</cols>
  <sheetData>
    <row r="1" spans="1:4" ht="24.6" x14ac:dyDescent="0.55000000000000004">
      <c r="A1" s="1" t="s">
        <v>67</v>
      </c>
    </row>
    <row r="2" spans="1:4" ht="15" x14ac:dyDescent="0.35">
      <c r="A2" s="2" t="s">
        <v>68</v>
      </c>
    </row>
    <row r="4" spans="1:4" ht="16.8" x14ac:dyDescent="0.4">
      <c r="B4" s="10" t="s">
        <v>69</v>
      </c>
    </row>
    <row r="5" spans="1:4" ht="16.8" x14ac:dyDescent="0.4">
      <c r="B5" s="11" t="s">
        <v>70</v>
      </c>
      <c r="C5" s="11" t="s">
        <v>71</v>
      </c>
      <c r="D5" s="11" t="s">
        <v>72</v>
      </c>
    </row>
    <row r="6" spans="1:4" ht="15" x14ac:dyDescent="0.35">
      <c r="B6" s="12" t="s">
        <v>10</v>
      </c>
      <c r="C6" s="13">
        <f>COUNTIF('Asset Master Table'!B$5:B$22, B6)</f>
        <v>16</v>
      </c>
      <c r="D6" s="5">
        <f>SUMIF('Asset Master Table'!B$5:B$22, B6, 'Asset Master Table'!D$5:D$22)</f>
        <v>722</v>
      </c>
    </row>
    <row r="7" spans="1:4" ht="15" x14ac:dyDescent="0.35">
      <c r="B7" s="12" t="s">
        <v>25</v>
      </c>
      <c r="C7" s="13">
        <f>COUNTIF('Asset Master Table'!B$5:B$22, B7)</f>
        <v>1</v>
      </c>
      <c r="D7" s="5">
        <f>SUMIF('Asset Master Table'!B$5:B$22, B7, 'Asset Master Table'!D$5:D$22)</f>
        <v>5</v>
      </c>
    </row>
    <row r="8" spans="1:4" ht="15" x14ac:dyDescent="0.35">
      <c r="B8" s="12" t="s">
        <v>43</v>
      </c>
      <c r="C8" s="13">
        <f>COUNTIF('Asset Master Table'!B$5:B$22, B8)</f>
        <v>1</v>
      </c>
      <c r="D8" s="5">
        <f>SUMIF('Asset Master Table'!B$5:B$22, B8, 'Asset Master Table'!D$5:D$22)</f>
        <v>1</v>
      </c>
    </row>
    <row r="9" spans="1:4" ht="15" x14ac:dyDescent="0.35">
      <c r="B9" s="14" t="s">
        <v>73</v>
      </c>
      <c r="C9" s="15">
        <f>SUM(C6:C8)</f>
        <v>18</v>
      </c>
      <c r="D9" s="16">
        <f>SUM(D6:D8)</f>
        <v>728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Master Table</vt:lpstr>
      <vt:lpstr>Übersicht &amp; 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Radic Gojko</cp:lastModifiedBy>
  <dcterms:created xsi:type="dcterms:W3CDTF">2026-07-21T06:55:54Z</dcterms:created>
  <dcterms:modified xsi:type="dcterms:W3CDTF">2026-07-28T05:41:07Z</dcterms:modified>
</cp:coreProperties>
</file>